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5B6C7079-22AA-4D2B-A4EA-78035AA57CB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2" i="1" l="1"/>
  <c r="AB5" i="1"/>
  <c r="AB4" i="1"/>
  <c r="AA4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V22" i="1"/>
  <c r="W25" i="1"/>
  <c r="W24" i="1"/>
  <c r="W23" i="1"/>
  <c r="W22" i="1"/>
  <c r="W4" i="1"/>
  <c r="V4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3" i="1"/>
  <c r="E25" i="1"/>
  <c r="F25" i="1"/>
  <c r="G25" i="1"/>
  <c r="H25" i="1"/>
  <c r="E24" i="1"/>
  <c r="F24" i="1"/>
  <c r="G24" i="1"/>
  <c r="H24" i="1"/>
  <c r="E23" i="1"/>
  <c r="F23" i="1"/>
  <c r="G23" i="1"/>
  <c r="H23" i="1"/>
  <c r="E22" i="1"/>
  <c r="F22" i="1"/>
  <c r="G22" i="1"/>
  <c r="H22" i="1"/>
  <c r="Y3" i="1"/>
  <c r="Z3" i="1" s="1"/>
  <c r="AA3" i="1" s="1"/>
  <c r="AB3" i="1" s="1"/>
  <c r="T3" i="1"/>
  <c r="U3" i="1" s="1"/>
  <c r="V3" i="1" s="1"/>
  <c r="P4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O3" i="1"/>
  <c r="P3" i="1" s="1"/>
  <c r="Q3" i="1" s="1"/>
  <c r="R3" i="1" s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0" i="1"/>
  <c r="V20" i="1" s="1"/>
  <c r="L19" i="1"/>
  <c r="V19" i="1" s="1"/>
  <c r="L18" i="1"/>
  <c r="V18" i="1" s="1"/>
  <c r="L17" i="1"/>
  <c r="V17" i="1" s="1"/>
  <c r="L16" i="1"/>
  <c r="V16" i="1" s="1"/>
  <c r="L15" i="1"/>
  <c r="V15" i="1" s="1"/>
  <c r="L14" i="1"/>
  <c r="V14" i="1" s="1"/>
  <c r="L13" i="1"/>
  <c r="V13" i="1" s="1"/>
  <c r="L12" i="1"/>
  <c r="V12" i="1" s="1"/>
  <c r="L11" i="1"/>
  <c r="V11" i="1" s="1"/>
  <c r="L10" i="1"/>
  <c r="V10" i="1" s="1"/>
  <c r="L9" i="1"/>
  <c r="V9" i="1" s="1"/>
  <c r="L8" i="1"/>
  <c r="V8" i="1" s="1"/>
  <c r="L7" i="1"/>
  <c r="V7" i="1" s="1"/>
  <c r="L6" i="1"/>
  <c r="V6" i="1" s="1"/>
  <c r="L5" i="1"/>
  <c r="V5" i="1" s="1"/>
  <c r="L4" i="1"/>
  <c r="K4" i="1"/>
  <c r="K20" i="1"/>
  <c r="U20" i="1" s="1"/>
  <c r="K19" i="1"/>
  <c r="U19" i="1" s="1"/>
  <c r="K18" i="1"/>
  <c r="U18" i="1" s="1"/>
  <c r="K17" i="1"/>
  <c r="U17" i="1" s="1"/>
  <c r="K16" i="1"/>
  <c r="U16" i="1" s="1"/>
  <c r="K15" i="1"/>
  <c r="U15" i="1" s="1"/>
  <c r="K14" i="1"/>
  <c r="U14" i="1" s="1"/>
  <c r="K13" i="1"/>
  <c r="U13" i="1" s="1"/>
  <c r="K12" i="1"/>
  <c r="U12" i="1" s="1"/>
  <c r="K11" i="1"/>
  <c r="U11" i="1" s="1"/>
  <c r="K10" i="1"/>
  <c r="U10" i="1" s="1"/>
  <c r="K9" i="1"/>
  <c r="U9" i="1" s="1"/>
  <c r="K8" i="1"/>
  <c r="U8" i="1" s="1"/>
  <c r="K7" i="1"/>
  <c r="U7" i="1" s="1"/>
  <c r="K6" i="1"/>
  <c r="U6" i="1" s="1"/>
  <c r="K5" i="1"/>
  <c r="U5" i="1" s="1"/>
  <c r="I4" i="1"/>
  <c r="J4" i="1"/>
  <c r="J20" i="1"/>
  <c r="T20" i="1" s="1"/>
  <c r="J19" i="1"/>
  <c r="T19" i="1" s="1"/>
  <c r="J18" i="1"/>
  <c r="T18" i="1" s="1"/>
  <c r="J17" i="1"/>
  <c r="T17" i="1" s="1"/>
  <c r="J16" i="1"/>
  <c r="T16" i="1" s="1"/>
  <c r="J15" i="1"/>
  <c r="T15" i="1" s="1"/>
  <c r="J14" i="1"/>
  <c r="T14" i="1" s="1"/>
  <c r="J13" i="1"/>
  <c r="T13" i="1" s="1"/>
  <c r="J12" i="1"/>
  <c r="T12" i="1" s="1"/>
  <c r="J11" i="1"/>
  <c r="T11" i="1" s="1"/>
  <c r="J10" i="1"/>
  <c r="T10" i="1" s="1"/>
  <c r="J9" i="1"/>
  <c r="T9" i="1" s="1"/>
  <c r="J8" i="1"/>
  <c r="T8" i="1" s="1"/>
  <c r="J7" i="1"/>
  <c r="T7" i="1" s="1"/>
  <c r="J6" i="1"/>
  <c r="T6" i="1" s="1"/>
  <c r="J5" i="1"/>
  <c r="T5" i="1" s="1"/>
  <c r="J3" i="1"/>
  <c r="K3" i="1" s="1"/>
  <c r="L3" i="1" s="1"/>
  <c r="M3" i="1" s="1"/>
  <c r="E3" i="1"/>
  <c r="F3" i="1" s="1"/>
  <c r="G3" i="1" s="1"/>
  <c r="H3" i="1" s="1"/>
  <c r="D23" i="1"/>
  <c r="D24" i="1"/>
  <c r="D25" i="1"/>
  <c r="I5" i="1"/>
  <c r="S5" i="1" s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16" i="1"/>
  <c r="S16" i="1" s="1"/>
  <c r="I17" i="1"/>
  <c r="S17" i="1" s="1"/>
  <c r="I18" i="1"/>
  <c r="S18" i="1" s="1"/>
  <c r="I19" i="1"/>
  <c r="S19" i="1" s="1"/>
  <c r="I20" i="1"/>
  <c r="S20" i="1" s="1"/>
  <c r="C25" i="1"/>
  <c r="C24" i="1"/>
  <c r="C23" i="1"/>
  <c r="D22" i="1"/>
  <c r="C22" i="1"/>
  <c r="J25" i="1" l="1"/>
  <c r="J24" i="1"/>
  <c r="J23" i="1"/>
  <c r="J22" i="1"/>
  <c r="T4" i="1"/>
  <c r="I22" i="1"/>
  <c r="I23" i="1"/>
  <c r="I24" i="1"/>
  <c r="I25" i="1"/>
  <c r="S4" i="1"/>
  <c r="K25" i="1"/>
  <c r="K24" i="1"/>
  <c r="K22" i="1"/>
  <c r="K23" i="1"/>
  <c r="U4" i="1"/>
  <c r="L25" i="1"/>
  <c r="L24" i="1"/>
  <c r="L22" i="1"/>
  <c r="L23" i="1"/>
  <c r="M25" i="1"/>
  <c r="M24" i="1"/>
  <c r="M22" i="1"/>
  <c r="M23" i="1"/>
  <c r="X4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O25" i="1"/>
  <c r="O24" i="1"/>
  <c r="O23" i="1"/>
  <c r="O2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Q25" i="1"/>
  <c r="Q24" i="1"/>
  <c r="Q23" i="1"/>
  <c r="Q22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R25" i="1"/>
  <c r="R24" i="1"/>
  <c r="R23" i="1"/>
  <c r="R22" i="1"/>
  <c r="P25" i="1"/>
  <c r="P24" i="1"/>
  <c r="P23" i="1"/>
  <c r="P22" i="1"/>
  <c r="Z4" i="1"/>
  <c r="N23" i="1"/>
  <c r="N24" i="1"/>
  <c r="N25" i="1"/>
  <c r="N22" i="1"/>
  <c r="Z25" i="1" l="1"/>
  <c r="Z24" i="1"/>
  <c r="Z23" i="1"/>
  <c r="Z22" i="1"/>
  <c r="AA25" i="1"/>
  <c r="AA24" i="1"/>
  <c r="AA23" i="1"/>
  <c r="AA22" i="1"/>
  <c r="Y25" i="1"/>
  <c r="Y24" i="1"/>
  <c r="Y23" i="1"/>
  <c r="Y22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V25" i="1"/>
  <c r="V24" i="1"/>
  <c r="V23" i="1"/>
  <c r="U25" i="1"/>
  <c r="U24" i="1"/>
  <c r="U23" i="1"/>
  <c r="U22" i="1"/>
  <c r="T25" i="1"/>
  <c r="T24" i="1"/>
  <c r="T23" i="1"/>
  <c r="T22" i="1"/>
  <c r="S25" i="1"/>
  <c r="S24" i="1"/>
  <c r="S23" i="1"/>
  <c r="S22" i="1"/>
  <c r="AD25" i="1" l="1"/>
  <c r="AD24" i="1"/>
  <c r="AD23" i="1"/>
  <c r="AD22" i="1"/>
  <c r="AB25" i="1"/>
  <c r="AB24" i="1"/>
  <c r="AB23" i="1"/>
  <c r="X25" i="1"/>
  <c r="X24" i="1"/>
  <c r="X23" i="1"/>
  <c r="X22" i="1"/>
</calcChain>
</file>

<file path=xl/sharedStrings.xml><?xml version="1.0" encoding="utf-8"?>
<sst xmlns="http://schemas.openxmlformats.org/spreadsheetml/2006/main" count="49" uniqueCount="48">
  <si>
    <t>Employee Payroll</t>
  </si>
  <si>
    <t>Mr. Sluiter</t>
  </si>
  <si>
    <t>House Worked</t>
  </si>
  <si>
    <t>Overtime Hours</t>
  </si>
  <si>
    <t>Pay</t>
  </si>
  <si>
    <t>Overtime Bonus</t>
  </si>
  <si>
    <t>Total</t>
  </si>
  <si>
    <t>Jan Total</t>
  </si>
  <si>
    <t>Last Name</t>
  </si>
  <si>
    <t>First Name</t>
  </si>
  <si>
    <t>Hourly Wage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</si>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</sst>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"/>
    <numFmt numFmtId="166" formatCode="_([$$-409]* #,##0.00_);_([$$-409]* \(#,##0.00\);_([$$-409]* &quot;-&quot;??_);_(@_)"/>
    <numFmt numFmtId="168" formatCode="[$-409]d\-mmm;@"/>
  </numFmts>
  <fonts count="4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168" fontId="1" fillId="2" borderId="0" xfId="0" applyNumberFormat="1" applyFont="1" applyFill="1"/>
    <xf numFmtId="0" fontId="0" fillId="2" borderId="0" xfId="0" applyFill="1"/>
    <xf numFmtId="168" fontId="1" fillId="3" borderId="0" xfId="0" applyNumberFormat="1" applyFont="1" applyFill="1"/>
    <xf numFmtId="0" fontId="0" fillId="3" borderId="0" xfId="0" applyFill="1"/>
    <xf numFmtId="168" fontId="1" fillId="4" borderId="0" xfId="0" applyNumberFormat="1" applyFont="1" applyFill="1"/>
    <xf numFmtId="168" fontId="1" fillId="5" borderId="0" xfId="0" applyNumberFormat="1" applyFont="1" applyFill="1"/>
    <xf numFmtId="168" fontId="3" fillId="5" borderId="0" xfId="0" applyNumberFormat="1" applyFont="1" applyFill="1"/>
    <xf numFmtId="4" fontId="0" fillId="5" borderId="0" xfId="0" applyNumberFormat="1" applyFill="1"/>
    <xf numFmtId="164" fontId="0" fillId="6" borderId="0" xfId="0" applyNumberFormat="1" applyFill="1"/>
    <xf numFmtId="0" fontId="0" fillId="4" borderId="0" xfId="0" applyFill="1"/>
    <xf numFmtId="0" fontId="3" fillId="7" borderId="0" xfId="0" applyFont="1" applyFill="1"/>
    <xf numFmtId="0" fontId="3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4" fontId="0" fillId="12" borderId="0" xfId="0" applyNumberFormat="1" applyFill="1"/>
    <xf numFmtId="0" fontId="3" fillId="13" borderId="0" xfId="0" applyFont="1" applyFill="1"/>
    <xf numFmtId="4" fontId="0" fillId="14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165" fontId="0" fillId="3" borderId="0" xfId="0" applyNumberFormat="1" applyFill="1"/>
    <xf numFmtId="2" fontId="0" fillId="3" borderId="0" xfId="0" applyNumberFormat="1" applyFill="1"/>
    <xf numFmtId="166" fontId="0" fillId="6" borderId="0" xfId="0" applyNumberFormat="1" applyFill="1"/>
    <xf numFmtId="166" fontId="0" fillId="4" borderId="0" xfId="0" applyNumberFormat="1" applyFill="1"/>
    <xf numFmtId="166" fontId="0" fillId="5" borderId="0" xfId="0" applyNumberFormat="1" applyFill="1"/>
    <xf numFmtId="166" fontId="0" fillId="12" borderId="0" xfId="0" applyNumberFormat="1" applyFill="1"/>
    <xf numFmtId="168" fontId="1" fillId="6" borderId="0" xfId="0" applyNumberFormat="1" applyFont="1" applyFill="1"/>
    <xf numFmtId="168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"/>
  <sheetViews>
    <sheetView tabSelected="1" topLeftCell="P10" zoomScaleNormal="100" workbookViewId="0">
      <selection activeCell="AD18" sqref="AD18"/>
    </sheetView>
  </sheetViews>
  <sheetFormatPr defaultColWidth="8.7109375" defaultRowHeight="15"/>
  <cols>
    <col min="1" max="1" width="15" customWidth="1"/>
    <col min="2" max="3" width="13" customWidth="1"/>
    <col min="4" max="4" width="14" customWidth="1"/>
    <col min="5" max="5" width="7" customWidth="1"/>
    <col min="6" max="6" width="7.5703125" customWidth="1"/>
    <col min="7" max="7" width="7.7109375" customWidth="1"/>
    <col min="8" max="8" width="7.85546875" customWidth="1"/>
    <col min="9" max="9" width="15" customWidth="1"/>
    <col min="10" max="10" width="6" customWidth="1"/>
    <col min="11" max="11" width="7.7109375" customWidth="1"/>
    <col min="12" max="12" width="7.42578125" customWidth="1"/>
    <col min="13" max="13" width="7.28515625" customWidth="1"/>
    <col min="14" max="14" width="16" customWidth="1"/>
    <col min="15" max="15" width="12" customWidth="1"/>
    <col min="16" max="16" width="11.28515625" customWidth="1"/>
    <col min="17" max="17" width="11.85546875" customWidth="1"/>
    <col min="18" max="18" width="13" customWidth="1"/>
    <col min="19" max="19" width="16.140625" customWidth="1"/>
    <col min="20" max="20" width="9.42578125" customWidth="1"/>
    <col min="21" max="21" width="9.140625" customWidth="1"/>
    <col min="22" max="23" width="9.28515625" customWidth="1"/>
    <col min="24" max="24" width="13.28515625" customWidth="1"/>
    <col min="25" max="26" width="11.7109375" customWidth="1"/>
    <col min="27" max="27" width="12.140625" customWidth="1"/>
    <col min="28" max="28" width="10.85546875" customWidth="1"/>
    <col min="30" max="30" width="12" customWidth="1"/>
  </cols>
  <sheetData>
    <row r="1" spans="1:30">
      <c r="A1" s="1" t="s">
        <v>0</v>
      </c>
      <c r="C1" s="1" t="s">
        <v>1</v>
      </c>
    </row>
    <row r="2" spans="1:30">
      <c r="D2" s="19" t="s">
        <v>2</v>
      </c>
      <c r="E2" s="1"/>
      <c r="F2" s="1"/>
      <c r="G2" s="1"/>
      <c r="H2" s="1"/>
      <c r="I2" s="18" t="s">
        <v>3</v>
      </c>
      <c r="J2" s="1"/>
      <c r="K2" s="1"/>
      <c r="L2" s="1"/>
      <c r="M2" s="1"/>
      <c r="N2" s="17" t="s">
        <v>4</v>
      </c>
      <c r="O2" s="1"/>
      <c r="P2" s="1"/>
      <c r="Q2" s="1"/>
      <c r="R2" s="1"/>
      <c r="S2" s="16" t="s">
        <v>5</v>
      </c>
      <c r="T2" s="4"/>
      <c r="U2" s="4"/>
      <c r="V2" s="4"/>
      <c r="W2" s="4"/>
      <c r="X2" s="15" t="s">
        <v>6</v>
      </c>
      <c r="AD2" s="21" t="s">
        <v>7</v>
      </c>
    </row>
    <row r="3" spans="1:30">
      <c r="A3" s="1" t="s">
        <v>8</v>
      </c>
      <c r="B3" s="1" t="s">
        <v>9</v>
      </c>
      <c r="C3" s="1" t="s">
        <v>10</v>
      </c>
      <c r="D3" s="5">
        <v>46023</v>
      </c>
      <c r="E3" s="5">
        <f>D3+7</f>
        <v>46030</v>
      </c>
      <c r="F3" s="5">
        <f t="shared" ref="F3:H3" si="0">E3+7</f>
        <v>46037</v>
      </c>
      <c r="G3" s="5">
        <f t="shared" si="0"/>
        <v>46044</v>
      </c>
      <c r="H3" s="5">
        <f t="shared" si="0"/>
        <v>46051</v>
      </c>
      <c r="I3" s="7">
        <v>46023</v>
      </c>
      <c r="J3" s="7">
        <f>I3+7</f>
        <v>46030</v>
      </c>
      <c r="K3" s="7">
        <f t="shared" ref="K3:M3" si="1">J3+7</f>
        <v>46037</v>
      </c>
      <c r="L3" s="7">
        <f t="shared" si="1"/>
        <v>46044</v>
      </c>
      <c r="M3" s="7">
        <f t="shared" si="1"/>
        <v>46051</v>
      </c>
      <c r="N3" s="31">
        <v>46023</v>
      </c>
      <c r="O3" s="32">
        <f>N3+7</f>
        <v>46030</v>
      </c>
      <c r="P3" s="32">
        <f t="shared" ref="P3:R3" si="2">O3+7</f>
        <v>46037</v>
      </c>
      <c r="Q3" s="32">
        <f t="shared" si="2"/>
        <v>46044</v>
      </c>
      <c r="R3" s="32">
        <f t="shared" si="2"/>
        <v>46051</v>
      </c>
      <c r="S3" s="9">
        <v>46023</v>
      </c>
      <c r="T3" s="9">
        <f>S3+7</f>
        <v>46030</v>
      </c>
      <c r="U3" s="9">
        <f t="shared" ref="U3" si="3">T3+7</f>
        <v>46037</v>
      </c>
      <c r="V3" s="9">
        <f>U3+7</f>
        <v>46044</v>
      </c>
      <c r="W3" s="9">
        <f>V3+7</f>
        <v>46051</v>
      </c>
      <c r="X3" s="10">
        <v>46023</v>
      </c>
      <c r="Y3" s="11">
        <f>X3+7</f>
        <v>46030</v>
      </c>
      <c r="Z3" s="11">
        <f t="shared" ref="Z3:AB3" si="4">Y3+7</f>
        <v>46037</v>
      </c>
      <c r="AA3" s="11">
        <f t="shared" si="4"/>
        <v>46044</v>
      </c>
      <c r="AB3" s="11">
        <f t="shared" si="4"/>
        <v>46051</v>
      </c>
      <c r="AD3" s="22"/>
    </row>
    <row r="4" spans="1:30">
      <c r="A4" s="2" t="s">
        <v>11</v>
      </c>
      <c r="B4" s="2" t="s">
        <v>12</v>
      </c>
      <c r="C4" s="3">
        <v>15.9</v>
      </c>
      <c r="D4" s="6">
        <v>41</v>
      </c>
      <c r="E4" s="6">
        <v>42</v>
      </c>
      <c r="F4" s="6">
        <v>39</v>
      </c>
      <c r="G4" s="6">
        <v>41</v>
      </c>
      <c r="H4" s="6">
        <v>21</v>
      </c>
      <c r="I4" s="8">
        <f>IF(D4&gt;40,D4-40,0)</f>
        <v>1</v>
      </c>
      <c r="J4" s="8">
        <f>IF(E4&gt;40,E4-40,0)</f>
        <v>2</v>
      </c>
      <c r="K4" s="8">
        <f>IF(F4&gt;40,F4-40,0)</f>
        <v>0</v>
      </c>
      <c r="L4" s="8">
        <f>IF(G4&gt;40,G4-40,0)</f>
        <v>1</v>
      </c>
      <c r="M4" s="8">
        <f>IF(H4&gt;40,H4-40,0)</f>
        <v>0</v>
      </c>
      <c r="N4" s="13">
        <f>$C4*D4</f>
        <v>651.9</v>
      </c>
      <c r="O4" s="13">
        <f>$C4*E4</f>
        <v>667.80000000000007</v>
      </c>
      <c r="P4" s="13">
        <f>$C4*F4</f>
        <v>620.1</v>
      </c>
      <c r="Q4" s="13">
        <f>$C4*G4</f>
        <v>651.9</v>
      </c>
      <c r="R4" s="13">
        <f>$C4*H4</f>
        <v>333.90000000000003</v>
      </c>
      <c r="S4" s="14">
        <f>0.5*$C4*I4</f>
        <v>7.95</v>
      </c>
      <c r="T4" s="14">
        <f t="shared" ref="T4:T20" si="5">0.5*$C4*J4</f>
        <v>15.9</v>
      </c>
      <c r="U4" s="14">
        <f t="shared" ref="U4:U20" si="6">0.5*$C4*K4</f>
        <v>0</v>
      </c>
      <c r="V4" s="14">
        <f>0.5*$C4*L4</f>
        <v>7.95</v>
      </c>
      <c r="W4" s="14">
        <f>0.5*$C4*M4</f>
        <v>0</v>
      </c>
      <c r="X4" s="12">
        <f>N4+S4</f>
        <v>659.85</v>
      </c>
      <c r="Y4" s="12">
        <f t="shared" ref="Y4:Y20" si="7">O4+T4</f>
        <v>683.7</v>
      </c>
      <c r="Z4" s="12">
        <f t="shared" ref="Z4:Z20" si="8">P4+U4</f>
        <v>620.1</v>
      </c>
      <c r="AA4" s="12">
        <f>Q4+V4</f>
        <v>659.85</v>
      </c>
      <c r="AB4" s="12">
        <f>R4+W4</f>
        <v>333.90000000000003</v>
      </c>
      <c r="AD4" s="20">
        <f>SUM(X4:AB4)</f>
        <v>2957.4</v>
      </c>
    </row>
    <row r="5" spans="1:30">
      <c r="A5" s="2" t="s">
        <v>13</v>
      </c>
      <c r="B5" s="2" t="s">
        <v>14</v>
      </c>
      <c r="C5" s="3">
        <v>10</v>
      </c>
      <c r="D5" s="6">
        <v>42</v>
      </c>
      <c r="E5" s="6">
        <v>40</v>
      </c>
      <c r="F5" s="6">
        <v>40</v>
      </c>
      <c r="G5" s="6">
        <v>38</v>
      </c>
      <c r="H5" s="6">
        <v>42</v>
      </c>
      <c r="I5" s="8">
        <f t="shared" ref="I5:J20" si="9">IF(D5&gt;40,D5-40,0)</f>
        <v>2</v>
      </c>
      <c r="J5" s="8">
        <f t="shared" si="9"/>
        <v>0</v>
      </c>
      <c r="K5" s="8">
        <f t="shared" ref="K5:L5" si="10">IF(F5&gt;40,F5-40,0)</f>
        <v>0</v>
      </c>
      <c r="L5" s="8">
        <f t="shared" si="10"/>
        <v>0</v>
      </c>
      <c r="M5" s="8">
        <f t="shared" ref="M5" si="11">IF(H5&gt;40,H5-40,0)</f>
        <v>2</v>
      </c>
      <c r="N5" s="13">
        <f t="shared" ref="N5:R20" si="12">$C5*D5</f>
        <v>420</v>
      </c>
      <c r="O5" s="13">
        <f t="shared" si="12"/>
        <v>400</v>
      </c>
      <c r="P5" s="13">
        <f t="shared" si="12"/>
        <v>400</v>
      </c>
      <c r="Q5" s="13">
        <f t="shared" si="12"/>
        <v>380</v>
      </c>
      <c r="R5" s="13">
        <f t="shared" si="12"/>
        <v>420</v>
      </c>
      <c r="S5" s="14">
        <f t="shared" ref="S5:S20" si="13">0.5*$C5*I5</f>
        <v>10</v>
      </c>
      <c r="T5" s="14">
        <f t="shared" si="5"/>
        <v>0</v>
      </c>
      <c r="U5" s="14">
        <f t="shared" si="6"/>
        <v>0</v>
      </c>
      <c r="V5" s="14">
        <f t="shared" ref="V4:W20" si="14">0.5*$C5*L5</f>
        <v>0</v>
      </c>
      <c r="W5" s="14">
        <f t="shared" si="14"/>
        <v>10</v>
      </c>
      <c r="X5" s="12">
        <f t="shared" ref="X5:X20" si="15">N5+S5</f>
        <v>430</v>
      </c>
      <c r="Y5" s="12">
        <f t="shared" si="7"/>
        <v>400</v>
      </c>
      <c r="Z5" s="12">
        <f t="shared" si="8"/>
        <v>400</v>
      </c>
      <c r="AA5" s="12">
        <f>Q5+V5</f>
        <v>380</v>
      </c>
      <c r="AB5" s="12">
        <f>R5+W5</f>
        <v>430</v>
      </c>
      <c r="AD5" s="20">
        <f t="shared" ref="AD5:AD20" si="16">SUM(X5:AB5)</f>
        <v>2040</v>
      </c>
    </row>
    <row r="6" spans="1:30">
      <c r="A6" s="2" t="s">
        <v>15</v>
      </c>
      <c r="B6" s="2" t="s">
        <v>16</v>
      </c>
      <c r="C6" s="3">
        <v>22.1</v>
      </c>
      <c r="D6" s="6">
        <v>49</v>
      </c>
      <c r="E6" s="6">
        <v>41</v>
      </c>
      <c r="F6" s="6">
        <v>41</v>
      </c>
      <c r="G6" s="6">
        <v>41</v>
      </c>
      <c r="H6" s="6">
        <v>49</v>
      </c>
      <c r="I6" s="8">
        <f t="shared" si="9"/>
        <v>9</v>
      </c>
      <c r="J6" s="8">
        <f t="shared" si="9"/>
        <v>1</v>
      </c>
      <c r="K6" s="8">
        <f t="shared" ref="K6:L6" si="17">IF(F6&gt;40,F6-40,0)</f>
        <v>1</v>
      </c>
      <c r="L6" s="8">
        <f t="shared" si="17"/>
        <v>1</v>
      </c>
      <c r="M6" s="8">
        <f t="shared" ref="M6" si="18">IF(H6&gt;40,H6-40,0)</f>
        <v>9</v>
      </c>
      <c r="N6" s="13">
        <f t="shared" si="12"/>
        <v>1082.9000000000001</v>
      </c>
      <c r="O6" s="13">
        <f t="shared" si="12"/>
        <v>906.1</v>
      </c>
      <c r="P6" s="13">
        <f t="shared" si="12"/>
        <v>906.1</v>
      </c>
      <c r="Q6" s="13">
        <f t="shared" si="12"/>
        <v>906.1</v>
      </c>
      <c r="R6" s="13">
        <f t="shared" si="12"/>
        <v>1082.9000000000001</v>
      </c>
      <c r="S6" s="14">
        <f t="shared" si="13"/>
        <v>99.45</v>
      </c>
      <c r="T6" s="14">
        <f t="shared" si="5"/>
        <v>11.05</v>
      </c>
      <c r="U6" s="14">
        <f t="shared" si="6"/>
        <v>11.05</v>
      </c>
      <c r="V6" s="14">
        <f t="shared" si="14"/>
        <v>11.05</v>
      </c>
      <c r="W6" s="14">
        <f t="shared" si="14"/>
        <v>99.45</v>
      </c>
      <c r="X6" s="12">
        <f t="shared" si="15"/>
        <v>1182.3500000000001</v>
      </c>
      <c r="Y6" s="12">
        <f t="shared" si="7"/>
        <v>917.15</v>
      </c>
      <c r="Z6" s="12">
        <f t="shared" si="8"/>
        <v>917.15</v>
      </c>
      <c r="AA6" s="12">
        <f>Q6+V6</f>
        <v>917.15</v>
      </c>
      <c r="AB6" s="12">
        <f t="shared" ref="AB4:AB20" si="19">R6+W6</f>
        <v>1182.3500000000001</v>
      </c>
      <c r="AD6" s="20">
        <f t="shared" si="16"/>
        <v>5116.1500000000005</v>
      </c>
    </row>
    <row r="7" spans="1:30">
      <c r="A7" s="2" t="s">
        <v>17</v>
      </c>
      <c r="B7" s="2" t="s">
        <v>18</v>
      </c>
      <c r="C7" s="3">
        <v>19.100000000000001</v>
      </c>
      <c r="D7" s="6">
        <v>41</v>
      </c>
      <c r="E7" s="6">
        <v>50</v>
      </c>
      <c r="F7" s="6">
        <v>39</v>
      </c>
      <c r="G7" s="6">
        <v>45</v>
      </c>
      <c r="H7" s="6">
        <v>41</v>
      </c>
      <c r="I7" s="8">
        <f t="shared" si="9"/>
        <v>1</v>
      </c>
      <c r="J7" s="8">
        <f t="shared" si="9"/>
        <v>10</v>
      </c>
      <c r="K7" s="8">
        <f t="shared" ref="K7:L7" si="20">IF(F7&gt;40,F7-40,0)</f>
        <v>0</v>
      </c>
      <c r="L7" s="8">
        <f t="shared" si="20"/>
        <v>5</v>
      </c>
      <c r="M7" s="8">
        <f t="shared" ref="M7" si="21">IF(H7&gt;40,H7-40,0)</f>
        <v>1</v>
      </c>
      <c r="N7" s="13">
        <f t="shared" si="12"/>
        <v>783.1</v>
      </c>
      <c r="O7" s="13">
        <f t="shared" si="12"/>
        <v>955.00000000000011</v>
      </c>
      <c r="P7" s="13">
        <f t="shared" si="12"/>
        <v>744.90000000000009</v>
      </c>
      <c r="Q7" s="13">
        <f t="shared" si="12"/>
        <v>859.50000000000011</v>
      </c>
      <c r="R7" s="13">
        <f t="shared" si="12"/>
        <v>783.1</v>
      </c>
      <c r="S7" s="14">
        <f t="shared" si="13"/>
        <v>9.5500000000000007</v>
      </c>
      <c r="T7" s="14">
        <f t="shared" si="5"/>
        <v>95.5</v>
      </c>
      <c r="U7" s="14">
        <f t="shared" si="6"/>
        <v>0</v>
      </c>
      <c r="V7" s="14">
        <f t="shared" si="14"/>
        <v>47.75</v>
      </c>
      <c r="W7" s="14">
        <f t="shared" si="14"/>
        <v>9.5500000000000007</v>
      </c>
      <c r="X7" s="12">
        <f t="shared" si="15"/>
        <v>792.65</v>
      </c>
      <c r="Y7" s="12">
        <f t="shared" si="7"/>
        <v>1050.5</v>
      </c>
      <c r="Z7" s="12">
        <f t="shared" si="8"/>
        <v>744.90000000000009</v>
      </c>
      <c r="AA7" s="12">
        <f>Q7+V7</f>
        <v>907.25000000000011</v>
      </c>
      <c r="AB7" s="12">
        <f t="shared" si="19"/>
        <v>792.65</v>
      </c>
      <c r="AD7" s="20">
        <f t="shared" si="16"/>
        <v>4287.95</v>
      </c>
    </row>
    <row r="8" spans="1:30">
      <c r="A8" s="2" t="s">
        <v>19</v>
      </c>
      <c r="B8" s="2" t="s">
        <v>20</v>
      </c>
      <c r="C8" s="3">
        <v>6.9</v>
      </c>
      <c r="D8" s="6">
        <v>39</v>
      </c>
      <c r="E8" s="6">
        <v>29</v>
      </c>
      <c r="F8" s="6">
        <v>41</v>
      </c>
      <c r="G8" s="6">
        <v>32</v>
      </c>
      <c r="H8" s="6">
        <v>39</v>
      </c>
      <c r="I8" s="8">
        <f t="shared" si="9"/>
        <v>0</v>
      </c>
      <c r="J8" s="8">
        <f t="shared" si="9"/>
        <v>0</v>
      </c>
      <c r="K8" s="8">
        <f t="shared" ref="K8:L8" si="22">IF(F8&gt;40,F8-40,0)</f>
        <v>1</v>
      </c>
      <c r="L8" s="8">
        <f t="shared" si="22"/>
        <v>0</v>
      </c>
      <c r="M8" s="8">
        <f t="shared" ref="M8" si="23">IF(H8&gt;40,H8-40,0)</f>
        <v>0</v>
      </c>
      <c r="N8" s="13">
        <f t="shared" si="12"/>
        <v>269.10000000000002</v>
      </c>
      <c r="O8" s="13">
        <f t="shared" si="12"/>
        <v>200.10000000000002</v>
      </c>
      <c r="P8" s="13">
        <f t="shared" si="12"/>
        <v>282.90000000000003</v>
      </c>
      <c r="Q8" s="13">
        <f t="shared" si="12"/>
        <v>220.8</v>
      </c>
      <c r="R8" s="13">
        <f t="shared" si="12"/>
        <v>269.10000000000002</v>
      </c>
      <c r="S8" s="14">
        <f t="shared" si="13"/>
        <v>0</v>
      </c>
      <c r="T8" s="14">
        <f t="shared" si="5"/>
        <v>0</v>
      </c>
      <c r="U8" s="14">
        <f t="shared" si="6"/>
        <v>3.45</v>
      </c>
      <c r="V8" s="14">
        <f t="shared" si="14"/>
        <v>0</v>
      </c>
      <c r="W8" s="14">
        <f t="shared" si="14"/>
        <v>0</v>
      </c>
      <c r="X8" s="12">
        <f t="shared" si="15"/>
        <v>269.10000000000002</v>
      </c>
      <c r="Y8" s="12">
        <f t="shared" si="7"/>
        <v>200.10000000000002</v>
      </c>
      <c r="Z8" s="12">
        <f t="shared" si="8"/>
        <v>286.35000000000002</v>
      </c>
      <c r="AA8" s="12">
        <f>Q8+V8</f>
        <v>220.8</v>
      </c>
      <c r="AB8" s="12">
        <f t="shared" si="19"/>
        <v>269.10000000000002</v>
      </c>
      <c r="AD8" s="20">
        <f t="shared" si="16"/>
        <v>1245.4500000000003</v>
      </c>
    </row>
    <row r="9" spans="1:30">
      <c r="A9" s="2" t="s">
        <v>21</v>
      </c>
      <c r="B9" s="2" t="s">
        <v>22</v>
      </c>
      <c r="C9" s="3">
        <v>14.2</v>
      </c>
      <c r="D9" s="6">
        <v>44</v>
      </c>
      <c r="E9" s="6">
        <v>41</v>
      </c>
      <c r="F9" s="6">
        <v>22</v>
      </c>
      <c r="G9" s="6">
        <v>41</v>
      </c>
      <c r="H9" s="6">
        <v>44</v>
      </c>
      <c r="I9" s="8">
        <f t="shared" si="9"/>
        <v>4</v>
      </c>
      <c r="J9" s="8">
        <f t="shared" si="9"/>
        <v>1</v>
      </c>
      <c r="K9" s="8">
        <f t="shared" ref="K9:L9" si="24">IF(F9&gt;40,F9-40,0)</f>
        <v>0</v>
      </c>
      <c r="L9" s="8">
        <f t="shared" si="24"/>
        <v>1</v>
      </c>
      <c r="M9" s="8">
        <f t="shared" ref="M9" si="25">IF(H9&gt;40,H9-40,0)</f>
        <v>4</v>
      </c>
      <c r="N9" s="13">
        <f t="shared" si="12"/>
        <v>624.79999999999995</v>
      </c>
      <c r="O9" s="13">
        <f t="shared" si="12"/>
        <v>582.19999999999993</v>
      </c>
      <c r="P9" s="13">
        <f t="shared" si="12"/>
        <v>312.39999999999998</v>
      </c>
      <c r="Q9" s="13">
        <f t="shared" si="12"/>
        <v>582.19999999999993</v>
      </c>
      <c r="R9" s="13">
        <f t="shared" si="12"/>
        <v>624.79999999999995</v>
      </c>
      <c r="S9" s="14">
        <f t="shared" si="13"/>
        <v>28.4</v>
      </c>
      <c r="T9" s="14">
        <f t="shared" si="5"/>
        <v>7.1</v>
      </c>
      <c r="U9" s="14">
        <f t="shared" si="6"/>
        <v>0</v>
      </c>
      <c r="V9" s="14">
        <f t="shared" si="14"/>
        <v>7.1</v>
      </c>
      <c r="W9" s="14">
        <f t="shared" si="14"/>
        <v>28.4</v>
      </c>
      <c r="X9" s="12">
        <f t="shared" si="15"/>
        <v>653.19999999999993</v>
      </c>
      <c r="Y9" s="12">
        <f t="shared" si="7"/>
        <v>589.29999999999995</v>
      </c>
      <c r="Z9" s="12">
        <f t="shared" si="8"/>
        <v>312.39999999999998</v>
      </c>
      <c r="AA9" s="12">
        <f>Q9+V9</f>
        <v>589.29999999999995</v>
      </c>
      <c r="AB9" s="12">
        <f t="shared" si="19"/>
        <v>653.19999999999993</v>
      </c>
      <c r="AD9" s="20">
        <f t="shared" si="16"/>
        <v>2797.3999999999996</v>
      </c>
    </row>
    <row r="10" spans="1:30">
      <c r="A10" s="2" t="s">
        <v>23</v>
      </c>
      <c r="B10" s="2" t="s">
        <v>24</v>
      </c>
      <c r="C10" s="3">
        <v>18</v>
      </c>
      <c r="D10" s="6">
        <v>55</v>
      </c>
      <c r="E10" s="6">
        <v>44</v>
      </c>
      <c r="F10" s="6">
        <v>44</v>
      </c>
      <c r="G10" s="6">
        <v>44</v>
      </c>
      <c r="H10" s="6">
        <v>55</v>
      </c>
      <c r="I10" s="8">
        <f t="shared" si="9"/>
        <v>15</v>
      </c>
      <c r="J10" s="8">
        <f t="shared" si="9"/>
        <v>4</v>
      </c>
      <c r="K10" s="8">
        <f t="shared" ref="K10:L10" si="26">IF(F10&gt;40,F10-40,0)</f>
        <v>4</v>
      </c>
      <c r="L10" s="8">
        <f t="shared" si="26"/>
        <v>4</v>
      </c>
      <c r="M10" s="8">
        <f t="shared" ref="M10" si="27">IF(H10&gt;40,H10-40,0)</f>
        <v>15</v>
      </c>
      <c r="N10" s="13">
        <f t="shared" si="12"/>
        <v>990</v>
      </c>
      <c r="O10" s="13">
        <f t="shared" si="12"/>
        <v>792</v>
      </c>
      <c r="P10" s="13">
        <f t="shared" si="12"/>
        <v>792</v>
      </c>
      <c r="Q10" s="13">
        <f t="shared" si="12"/>
        <v>792</v>
      </c>
      <c r="R10" s="13">
        <f t="shared" si="12"/>
        <v>990</v>
      </c>
      <c r="S10" s="14">
        <f t="shared" si="13"/>
        <v>135</v>
      </c>
      <c r="T10" s="14">
        <f t="shared" si="5"/>
        <v>36</v>
      </c>
      <c r="U10" s="14">
        <f t="shared" si="6"/>
        <v>36</v>
      </c>
      <c r="V10" s="14">
        <f t="shared" si="14"/>
        <v>36</v>
      </c>
      <c r="W10" s="14">
        <f t="shared" si="14"/>
        <v>135</v>
      </c>
      <c r="X10" s="12">
        <f t="shared" si="15"/>
        <v>1125</v>
      </c>
      <c r="Y10" s="12">
        <f t="shared" si="7"/>
        <v>828</v>
      </c>
      <c r="Z10" s="12">
        <f t="shared" si="8"/>
        <v>828</v>
      </c>
      <c r="AA10" s="12">
        <f>Q10+V10</f>
        <v>828</v>
      </c>
      <c r="AB10" s="12">
        <f t="shared" si="19"/>
        <v>1125</v>
      </c>
      <c r="AD10" s="20">
        <f t="shared" si="16"/>
        <v>4734</v>
      </c>
    </row>
    <row r="11" spans="1:30">
      <c r="A11" s="2" t="s">
        <v>25</v>
      </c>
      <c r="B11" s="2" t="s">
        <v>26</v>
      </c>
      <c r="C11" s="3">
        <v>17.5</v>
      </c>
      <c r="D11" s="6">
        <v>33</v>
      </c>
      <c r="E11" s="6">
        <v>39</v>
      </c>
      <c r="F11" s="6">
        <v>39</v>
      </c>
      <c r="G11" s="6">
        <v>31</v>
      </c>
      <c r="H11" s="6">
        <v>33</v>
      </c>
      <c r="I11" s="8">
        <f t="shared" si="9"/>
        <v>0</v>
      </c>
      <c r="J11" s="8">
        <f t="shared" si="9"/>
        <v>0</v>
      </c>
      <c r="K11" s="8">
        <f t="shared" ref="K11:L11" si="28">IF(F11&gt;40,F11-40,0)</f>
        <v>0</v>
      </c>
      <c r="L11" s="8">
        <f t="shared" si="28"/>
        <v>0</v>
      </c>
      <c r="M11" s="8">
        <f t="shared" ref="M11" si="29">IF(H11&gt;40,H11-40,0)</f>
        <v>0</v>
      </c>
      <c r="N11" s="13">
        <f t="shared" si="12"/>
        <v>577.5</v>
      </c>
      <c r="O11" s="13">
        <f t="shared" si="12"/>
        <v>682.5</v>
      </c>
      <c r="P11" s="13">
        <f t="shared" si="12"/>
        <v>682.5</v>
      </c>
      <c r="Q11" s="13">
        <f t="shared" si="12"/>
        <v>542.5</v>
      </c>
      <c r="R11" s="13">
        <f t="shared" si="12"/>
        <v>577.5</v>
      </c>
      <c r="S11" s="14">
        <f t="shared" si="13"/>
        <v>0</v>
      </c>
      <c r="T11" s="14">
        <f t="shared" si="5"/>
        <v>0</v>
      </c>
      <c r="U11" s="14">
        <f t="shared" si="6"/>
        <v>0</v>
      </c>
      <c r="V11" s="14">
        <f t="shared" si="14"/>
        <v>0</v>
      </c>
      <c r="W11" s="14">
        <f t="shared" si="14"/>
        <v>0</v>
      </c>
      <c r="X11" s="12">
        <f t="shared" si="15"/>
        <v>577.5</v>
      </c>
      <c r="Y11" s="12">
        <f t="shared" si="7"/>
        <v>682.5</v>
      </c>
      <c r="Z11" s="12">
        <f t="shared" si="8"/>
        <v>682.5</v>
      </c>
      <c r="AA11" s="12">
        <f>Q11+V11</f>
        <v>542.5</v>
      </c>
      <c r="AB11" s="12">
        <f t="shared" si="19"/>
        <v>577.5</v>
      </c>
      <c r="AD11" s="20">
        <f t="shared" si="16"/>
        <v>3062.5</v>
      </c>
    </row>
    <row r="12" spans="1:30">
      <c r="A12" s="2" t="s">
        <v>27</v>
      </c>
      <c r="B12" s="2" t="s">
        <v>28</v>
      </c>
      <c r="C12" s="3">
        <v>14.7</v>
      </c>
      <c r="D12" s="6">
        <v>29</v>
      </c>
      <c r="E12" s="6">
        <v>38</v>
      </c>
      <c r="F12" s="6">
        <v>38</v>
      </c>
      <c r="G12" s="6">
        <v>45</v>
      </c>
      <c r="H12" s="6">
        <v>29</v>
      </c>
      <c r="I12" s="8">
        <f t="shared" si="9"/>
        <v>0</v>
      </c>
      <c r="J12" s="8">
        <f t="shared" si="9"/>
        <v>0</v>
      </c>
      <c r="K12" s="8">
        <f t="shared" ref="K12:L12" si="30">IF(F12&gt;40,F12-40,0)</f>
        <v>0</v>
      </c>
      <c r="L12" s="8">
        <f t="shared" si="30"/>
        <v>5</v>
      </c>
      <c r="M12" s="8">
        <f t="shared" ref="M12" si="31">IF(H12&gt;40,H12-40,0)</f>
        <v>0</v>
      </c>
      <c r="N12" s="13">
        <f t="shared" si="12"/>
        <v>426.29999999999995</v>
      </c>
      <c r="O12" s="13">
        <f t="shared" si="12"/>
        <v>558.6</v>
      </c>
      <c r="P12" s="13">
        <f t="shared" si="12"/>
        <v>558.6</v>
      </c>
      <c r="Q12" s="13">
        <f t="shared" si="12"/>
        <v>661.5</v>
      </c>
      <c r="R12" s="13">
        <f t="shared" si="12"/>
        <v>426.29999999999995</v>
      </c>
      <c r="S12" s="14">
        <f t="shared" si="13"/>
        <v>0</v>
      </c>
      <c r="T12" s="14">
        <f t="shared" si="5"/>
        <v>0</v>
      </c>
      <c r="U12" s="14">
        <f t="shared" si="6"/>
        <v>0</v>
      </c>
      <c r="V12" s="14">
        <f t="shared" si="14"/>
        <v>36.75</v>
      </c>
      <c r="W12" s="14">
        <f t="shared" si="14"/>
        <v>0</v>
      </c>
      <c r="X12" s="12">
        <f t="shared" si="15"/>
        <v>426.29999999999995</v>
      </c>
      <c r="Y12" s="12">
        <f t="shared" si="7"/>
        <v>558.6</v>
      </c>
      <c r="Z12" s="12">
        <f t="shared" si="8"/>
        <v>558.6</v>
      </c>
      <c r="AA12" s="12">
        <f>Q12+V12</f>
        <v>698.25</v>
      </c>
      <c r="AB12" s="12">
        <f t="shared" si="19"/>
        <v>426.29999999999995</v>
      </c>
      <c r="AD12" s="20">
        <f t="shared" si="16"/>
        <v>2668.05</v>
      </c>
    </row>
    <row r="13" spans="1:30">
      <c r="A13" s="2" t="s">
        <v>29</v>
      </c>
      <c r="B13" s="2" t="s">
        <v>30</v>
      </c>
      <c r="C13" s="3">
        <v>13.9</v>
      </c>
      <c r="D13" s="6">
        <v>40</v>
      </c>
      <c r="E13" s="6">
        <v>40</v>
      </c>
      <c r="F13" s="6">
        <v>55</v>
      </c>
      <c r="G13" s="6">
        <v>40</v>
      </c>
      <c r="H13" s="6">
        <v>47</v>
      </c>
      <c r="I13" s="8">
        <f t="shared" si="9"/>
        <v>0</v>
      </c>
      <c r="J13" s="8">
        <f t="shared" si="9"/>
        <v>0</v>
      </c>
      <c r="K13" s="8">
        <f t="shared" ref="K13:L13" si="32">IF(F13&gt;40,F13-40,0)</f>
        <v>15</v>
      </c>
      <c r="L13" s="8">
        <f t="shared" si="32"/>
        <v>0</v>
      </c>
      <c r="M13" s="8">
        <f t="shared" ref="M13" si="33">IF(H13&gt;40,H13-40,0)</f>
        <v>7</v>
      </c>
      <c r="N13" s="13">
        <f t="shared" si="12"/>
        <v>556</v>
      </c>
      <c r="O13" s="13">
        <f t="shared" si="12"/>
        <v>556</v>
      </c>
      <c r="P13" s="13">
        <f t="shared" si="12"/>
        <v>764.5</v>
      </c>
      <c r="Q13" s="13">
        <f t="shared" si="12"/>
        <v>556</v>
      </c>
      <c r="R13" s="13">
        <f t="shared" si="12"/>
        <v>653.30000000000007</v>
      </c>
      <c r="S13" s="14">
        <f t="shared" si="13"/>
        <v>0</v>
      </c>
      <c r="T13" s="14">
        <f t="shared" si="5"/>
        <v>0</v>
      </c>
      <c r="U13" s="14">
        <f t="shared" si="6"/>
        <v>104.25</v>
      </c>
      <c r="V13" s="14">
        <f t="shared" si="14"/>
        <v>0</v>
      </c>
      <c r="W13" s="14">
        <f t="shared" si="14"/>
        <v>48.65</v>
      </c>
      <c r="X13" s="12">
        <f t="shared" si="15"/>
        <v>556</v>
      </c>
      <c r="Y13" s="12">
        <f t="shared" si="7"/>
        <v>556</v>
      </c>
      <c r="Z13" s="12">
        <f t="shared" si="8"/>
        <v>868.75</v>
      </c>
      <c r="AA13" s="12">
        <f>Q13+V13</f>
        <v>556</v>
      </c>
      <c r="AB13" s="12">
        <f t="shared" si="19"/>
        <v>701.95</v>
      </c>
      <c r="AD13" s="20">
        <f t="shared" si="16"/>
        <v>3238.7</v>
      </c>
    </row>
    <row r="14" spans="1:30">
      <c r="A14" s="2" t="s">
        <v>31</v>
      </c>
      <c r="B14" s="2" t="s">
        <v>32</v>
      </c>
      <c r="C14" s="3">
        <v>11.2</v>
      </c>
      <c r="D14" s="6">
        <v>40</v>
      </c>
      <c r="E14" s="6">
        <v>42</v>
      </c>
      <c r="F14" s="6">
        <v>42</v>
      </c>
      <c r="G14" s="6">
        <v>22</v>
      </c>
      <c r="H14" s="6">
        <v>40</v>
      </c>
      <c r="I14" s="8">
        <f t="shared" si="9"/>
        <v>0</v>
      </c>
      <c r="J14" s="8">
        <f t="shared" si="9"/>
        <v>2</v>
      </c>
      <c r="K14" s="8">
        <f t="shared" ref="K14:L14" si="34">IF(F14&gt;40,F14-40,0)</f>
        <v>2</v>
      </c>
      <c r="L14" s="8">
        <f t="shared" si="34"/>
        <v>0</v>
      </c>
      <c r="M14" s="8">
        <f t="shared" ref="M14" si="35">IF(H14&gt;40,H14-40,0)</f>
        <v>0</v>
      </c>
      <c r="N14" s="13">
        <f t="shared" si="12"/>
        <v>448</v>
      </c>
      <c r="O14" s="13">
        <f t="shared" si="12"/>
        <v>470.4</v>
      </c>
      <c r="P14" s="13">
        <f t="shared" si="12"/>
        <v>470.4</v>
      </c>
      <c r="Q14" s="13">
        <f t="shared" si="12"/>
        <v>246.39999999999998</v>
      </c>
      <c r="R14" s="13">
        <f t="shared" si="12"/>
        <v>448</v>
      </c>
      <c r="S14" s="14">
        <f t="shared" si="13"/>
        <v>0</v>
      </c>
      <c r="T14" s="14">
        <f t="shared" si="5"/>
        <v>11.2</v>
      </c>
      <c r="U14" s="14">
        <f t="shared" si="6"/>
        <v>11.2</v>
      </c>
      <c r="V14" s="14">
        <f t="shared" si="14"/>
        <v>0</v>
      </c>
      <c r="W14" s="14">
        <f t="shared" si="14"/>
        <v>0</v>
      </c>
      <c r="X14" s="12">
        <f t="shared" si="15"/>
        <v>448</v>
      </c>
      <c r="Y14" s="12">
        <f t="shared" si="7"/>
        <v>481.59999999999997</v>
      </c>
      <c r="Z14" s="12">
        <f t="shared" si="8"/>
        <v>481.59999999999997</v>
      </c>
      <c r="AA14" s="12">
        <f>Q14+V14</f>
        <v>246.39999999999998</v>
      </c>
      <c r="AB14" s="12">
        <f t="shared" si="19"/>
        <v>448</v>
      </c>
      <c r="AD14" s="20">
        <f t="shared" si="16"/>
        <v>2105.6</v>
      </c>
    </row>
    <row r="15" spans="1:30">
      <c r="A15" s="2" t="s">
        <v>33</v>
      </c>
      <c r="B15" s="2" t="s">
        <v>34</v>
      </c>
      <c r="C15" s="3">
        <v>10.1</v>
      </c>
      <c r="D15" s="6">
        <v>40</v>
      </c>
      <c r="E15" s="6">
        <v>51</v>
      </c>
      <c r="F15" s="6">
        <v>30</v>
      </c>
      <c r="G15" s="6">
        <v>50</v>
      </c>
      <c r="H15" s="6">
        <v>40</v>
      </c>
      <c r="I15" s="8">
        <f t="shared" si="9"/>
        <v>0</v>
      </c>
      <c r="J15" s="8">
        <f t="shared" si="9"/>
        <v>11</v>
      </c>
      <c r="K15" s="8">
        <f t="shared" ref="K15:L15" si="36">IF(F15&gt;40,F15-40,0)</f>
        <v>0</v>
      </c>
      <c r="L15" s="8">
        <f t="shared" si="36"/>
        <v>10</v>
      </c>
      <c r="M15" s="8">
        <f t="shared" ref="M15" si="37">IF(H15&gt;40,H15-40,0)</f>
        <v>0</v>
      </c>
      <c r="N15" s="13">
        <f t="shared" si="12"/>
        <v>404</v>
      </c>
      <c r="O15" s="13">
        <f t="shared" si="12"/>
        <v>515.1</v>
      </c>
      <c r="P15" s="13">
        <f t="shared" si="12"/>
        <v>303</v>
      </c>
      <c r="Q15" s="13">
        <f t="shared" si="12"/>
        <v>505</v>
      </c>
      <c r="R15" s="13">
        <f t="shared" si="12"/>
        <v>404</v>
      </c>
      <c r="S15" s="14">
        <f t="shared" si="13"/>
        <v>0</v>
      </c>
      <c r="T15" s="14">
        <f t="shared" si="5"/>
        <v>55.55</v>
      </c>
      <c r="U15" s="14">
        <f t="shared" si="6"/>
        <v>0</v>
      </c>
      <c r="V15" s="14">
        <f t="shared" si="14"/>
        <v>50.5</v>
      </c>
      <c r="W15" s="14">
        <f t="shared" si="14"/>
        <v>0</v>
      </c>
      <c r="X15" s="12">
        <f t="shared" si="15"/>
        <v>404</v>
      </c>
      <c r="Y15" s="12">
        <f t="shared" si="7"/>
        <v>570.65</v>
      </c>
      <c r="Z15" s="12">
        <f t="shared" si="8"/>
        <v>303</v>
      </c>
      <c r="AA15" s="12">
        <f>Q15+V15</f>
        <v>555.5</v>
      </c>
      <c r="AB15" s="12">
        <f t="shared" si="19"/>
        <v>404</v>
      </c>
      <c r="AD15" s="20">
        <f t="shared" si="16"/>
        <v>2237.15</v>
      </c>
    </row>
    <row r="16" spans="1:30">
      <c r="A16" s="2" t="s">
        <v>35</v>
      </c>
      <c r="B16" s="2" t="s">
        <v>36</v>
      </c>
      <c r="C16" s="3">
        <v>9</v>
      </c>
      <c r="D16" s="6">
        <v>42</v>
      </c>
      <c r="E16" s="6">
        <v>47</v>
      </c>
      <c r="F16" s="6">
        <v>47</v>
      </c>
      <c r="G16" s="6">
        <v>33</v>
      </c>
      <c r="H16" s="6">
        <v>42</v>
      </c>
      <c r="I16" s="8">
        <f t="shared" si="9"/>
        <v>2</v>
      </c>
      <c r="J16" s="8">
        <f t="shared" si="9"/>
        <v>7</v>
      </c>
      <c r="K16" s="8">
        <f t="shared" ref="K16:L16" si="38">IF(F16&gt;40,F16-40,0)</f>
        <v>7</v>
      </c>
      <c r="L16" s="8">
        <f t="shared" si="38"/>
        <v>0</v>
      </c>
      <c r="M16" s="8">
        <f t="shared" ref="M16" si="39">IF(H16&gt;40,H16-40,0)</f>
        <v>2</v>
      </c>
      <c r="N16" s="13">
        <f t="shared" si="12"/>
        <v>378</v>
      </c>
      <c r="O16" s="13">
        <f t="shared" si="12"/>
        <v>423</v>
      </c>
      <c r="P16" s="13">
        <f t="shared" si="12"/>
        <v>423</v>
      </c>
      <c r="Q16" s="13">
        <f t="shared" si="12"/>
        <v>297</v>
      </c>
      <c r="R16" s="13">
        <f t="shared" si="12"/>
        <v>378</v>
      </c>
      <c r="S16" s="14">
        <f t="shared" si="13"/>
        <v>9</v>
      </c>
      <c r="T16" s="14">
        <f t="shared" si="5"/>
        <v>31.5</v>
      </c>
      <c r="U16" s="14">
        <f t="shared" si="6"/>
        <v>31.5</v>
      </c>
      <c r="V16" s="14">
        <f t="shared" si="14"/>
        <v>0</v>
      </c>
      <c r="W16" s="14">
        <f t="shared" si="14"/>
        <v>9</v>
      </c>
      <c r="X16" s="12">
        <f t="shared" si="15"/>
        <v>387</v>
      </c>
      <c r="Y16" s="12">
        <f t="shared" si="7"/>
        <v>454.5</v>
      </c>
      <c r="Z16" s="12">
        <f t="shared" si="8"/>
        <v>454.5</v>
      </c>
      <c r="AA16" s="12">
        <f>Q16+V16</f>
        <v>297</v>
      </c>
      <c r="AB16" s="12">
        <f t="shared" si="19"/>
        <v>387</v>
      </c>
      <c r="AD16" s="20">
        <f t="shared" si="16"/>
        <v>1980</v>
      </c>
    </row>
    <row r="17" spans="1:30">
      <c r="A17" s="2" t="s">
        <v>37</v>
      </c>
      <c r="B17" s="2" t="s">
        <v>38</v>
      </c>
      <c r="C17" s="3">
        <v>8.44</v>
      </c>
      <c r="D17" s="6">
        <v>40</v>
      </c>
      <c r="E17" s="6">
        <v>30</v>
      </c>
      <c r="F17" s="6">
        <v>30</v>
      </c>
      <c r="G17" s="6">
        <v>44</v>
      </c>
      <c r="H17" s="6">
        <v>40</v>
      </c>
      <c r="I17" s="8">
        <f t="shared" si="9"/>
        <v>0</v>
      </c>
      <c r="J17" s="8">
        <f t="shared" si="9"/>
        <v>0</v>
      </c>
      <c r="K17" s="8">
        <f t="shared" ref="K17:L17" si="40">IF(F17&gt;40,F17-40,0)</f>
        <v>0</v>
      </c>
      <c r="L17" s="8">
        <f t="shared" si="40"/>
        <v>4</v>
      </c>
      <c r="M17" s="8">
        <f t="shared" ref="M17" si="41">IF(H17&gt;40,H17-40,0)</f>
        <v>0</v>
      </c>
      <c r="N17" s="13">
        <f t="shared" si="12"/>
        <v>337.59999999999997</v>
      </c>
      <c r="O17" s="13">
        <f t="shared" si="12"/>
        <v>253.2</v>
      </c>
      <c r="P17" s="13">
        <f t="shared" si="12"/>
        <v>253.2</v>
      </c>
      <c r="Q17" s="13">
        <f t="shared" si="12"/>
        <v>371.35999999999996</v>
      </c>
      <c r="R17" s="13">
        <f t="shared" si="12"/>
        <v>337.59999999999997</v>
      </c>
      <c r="S17" s="14">
        <f t="shared" si="13"/>
        <v>0</v>
      </c>
      <c r="T17" s="14">
        <f t="shared" si="5"/>
        <v>0</v>
      </c>
      <c r="U17" s="14">
        <f t="shared" si="6"/>
        <v>0</v>
      </c>
      <c r="V17" s="14">
        <f t="shared" si="14"/>
        <v>16.88</v>
      </c>
      <c r="W17" s="14">
        <f t="shared" si="14"/>
        <v>0</v>
      </c>
      <c r="X17" s="12">
        <f t="shared" si="15"/>
        <v>337.59999999999997</v>
      </c>
      <c r="Y17" s="12">
        <f t="shared" si="7"/>
        <v>253.2</v>
      </c>
      <c r="Z17" s="12">
        <f t="shared" si="8"/>
        <v>253.2</v>
      </c>
      <c r="AA17" s="12">
        <f>Q17+V17</f>
        <v>388.23999999999995</v>
      </c>
      <c r="AB17" s="12">
        <f t="shared" si="19"/>
        <v>337.59999999999997</v>
      </c>
      <c r="AD17" s="20">
        <f t="shared" si="16"/>
        <v>1569.84</v>
      </c>
    </row>
    <row r="18" spans="1:30">
      <c r="A18" s="2" t="s">
        <v>39</v>
      </c>
      <c r="B18" s="2" t="s">
        <v>40</v>
      </c>
      <c r="C18" s="3">
        <v>14.2</v>
      </c>
      <c r="D18" s="6">
        <v>40</v>
      </c>
      <c r="E18" s="6">
        <v>45</v>
      </c>
      <c r="F18" s="6">
        <v>31</v>
      </c>
      <c r="G18" s="6">
        <v>24</v>
      </c>
      <c r="H18" s="6">
        <v>48</v>
      </c>
      <c r="I18" s="8">
        <f t="shared" si="9"/>
        <v>0</v>
      </c>
      <c r="J18" s="8">
        <f t="shared" si="9"/>
        <v>5</v>
      </c>
      <c r="K18" s="8">
        <f t="shared" ref="K18:L18" si="42">IF(F18&gt;40,F18-40,0)</f>
        <v>0</v>
      </c>
      <c r="L18" s="8">
        <f t="shared" si="42"/>
        <v>0</v>
      </c>
      <c r="M18" s="8">
        <f t="shared" ref="M18" si="43">IF(H18&gt;40,H18-40,0)</f>
        <v>8</v>
      </c>
      <c r="N18" s="13">
        <f t="shared" si="12"/>
        <v>568</v>
      </c>
      <c r="O18" s="13">
        <f t="shared" si="12"/>
        <v>639</v>
      </c>
      <c r="P18" s="13">
        <f t="shared" si="12"/>
        <v>440.2</v>
      </c>
      <c r="Q18" s="13">
        <f t="shared" si="12"/>
        <v>340.79999999999995</v>
      </c>
      <c r="R18" s="13">
        <f t="shared" si="12"/>
        <v>681.59999999999991</v>
      </c>
      <c r="S18" s="14">
        <f t="shared" si="13"/>
        <v>0</v>
      </c>
      <c r="T18" s="14">
        <f t="shared" si="5"/>
        <v>35.5</v>
      </c>
      <c r="U18" s="14">
        <f t="shared" si="6"/>
        <v>0</v>
      </c>
      <c r="V18" s="14">
        <f t="shared" si="14"/>
        <v>0</v>
      </c>
      <c r="W18" s="14">
        <f t="shared" si="14"/>
        <v>56.8</v>
      </c>
      <c r="X18" s="12">
        <f t="shared" si="15"/>
        <v>568</v>
      </c>
      <c r="Y18" s="12">
        <f t="shared" si="7"/>
        <v>674.5</v>
      </c>
      <c r="Z18" s="12">
        <f t="shared" si="8"/>
        <v>440.2</v>
      </c>
      <c r="AA18" s="12">
        <f>Q18+V18</f>
        <v>340.79999999999995</v>
      </c>
      <c r="AB18" s="12">
        <f t="shared" si="19"/>
        <v>738.39999999999986</v>
      </c>
      <c r="AD18" s="20">
        <f t="shared" si="16"/>
        <v>2761.8999999999996</v>
      </c>
    </row>
    <row r="19" spans="1:30">
      <c r="A19" s="2" t="s">
        <v>41</v>
      </c>
      <c r="B19" s="2" t="s">
        <v>42</v>
      </c>
      <c r="C19" s="3">
        <v>45</v>
      </c>
      <c r="D19" s="6">
        <v>41</v>
      </c>
      <c r="E19" s="6">
        <v>36</v>
      </c>
      <c r="F19" s="6">
        <v>22</v>
      </c>
      <c r="G19" s="6">
        <v>36</v>
      </c>
      <c r="H19" s="6">
        <v>21</v>
      </c>
      <c r="I19" s="8">
        <f t="shared" si="9"/>
        <v>1</v>
      </c>
      <c r="J19" s="8">
        <f t="shared" si="9"/>
        <v>0</v>
      </c>
      <c r="K19" s="8">
        <f t="shared" ref="K19:L19" si="44">IF(F19&gt;40,F19-40,0)</f>
        <v>0</v>
      </c>
      <c r="L19" s="8">
        <f t="shared" si="44"/>
        <v>0</v>
      </c>
      <c r="M19" s="8">
        <f t="shared" ref="M19" si="45">IF(H19&gt;40,H19-40,0)</f>
        <v>0</v>
      </c>
      <c r="N19" s="13">
        <f t="shared" si="12"/>
        <v>1845</v>
      </c>
      <c r="O19" s="13">
        <f t="shared" si="12"/>
        <v>1620</v>
      </c>
      <c r="P19" s="13">
        <f t="shared" si="12"/>
        <v>990</v>
      </c>
      <c r="Q19" s="13">
        <f t="shared" si="12"/>
        <v>1620</v>
      </c>
      <c r="R19" s="13">
        <f t="shared" si="12"/>
        <v>945</v>
      </c>
      <c r="S19" s="14">
        <f t="shared" si="13"/>
        <v>22.5</v>
      </c>
      <c r="T19" s="14">
        <f t="shared" si="5"/>
        <v>0</v>
      </c>
      <c r="U19" s="14">
        <f t="shared" si="6"/>
        <v>0</v>
      </c>
      <c r="V19" s="14">
        <f t="shared" si="14"/>
        <v>0</v>
      </c>
      <c r="W19" s="14">
        <f t="shared" si="14"/>
        <v>0</v>
      </c>
      <c r="X19" s="12">
        <f t="shared" si="15"/>
        <v>1867.5</v>
      </c>
      <c r="Y19" s="12">
        <f t="shared" si="7"/>
        <v>1620</v>
      </c>
      <c r="Z19" s="12">
        <f t="shared" si="8"/>
        <v>990</v>
      </c>
      <c r="AA19" s="12">
        <f>Q19+V19</f>
        <v>1620</v>
      </c>
      <c r="AB19" s="12">
        <f t="shared" si="19"/>
        <v>945</v>
      </c>
      <c r="AD19" s="20">
        <f t="shared" si="16"/>
        <v>7042.5</v>
      </c>
    </row>
    <row r="20" spans="1:30">
      <c r="A20" s="2" t="s">
        <v>43</v>
      </c>
      <c r="B20" s="2" t="s">
        <v>44</v>
      </c>
      <c r="C20" s="3">
        <v>30</v>
      </c>
      <c r="D20" s="6">
        <v>39</v>
      </c>
      <c r="E20" s="6">
        <v>40</v>
      </c>
      <c r="F20" s="6">
        <v>42</v>
      </c>
      <c r="G20" s="6">
        <v>22</v>
      </c>
      <c r="H20" s="6">
        <v>39</v>
      </c>
      <c r="I20" s="8">
        <f t="shared" si="9"/>
        <v>0</v>
      </c>
      <c r="J20" s="8">
        <f t="shared" si="9"/>
        <v>0</v>
      </c>
      <c r="K20" s="8">
        <f t="shared" ref="K20:L20" si="46">IF(F20&gt;40,F20-40,0)</f>
        <v>2</v>
      </c>
      <c r="L20" s="8">
        <f t="shared" si="46"/>
        <v>0</v>
      </c>
      <c r="M20" s="8">
        <f t="shared" ref="M20" si="47">IF(H20&gt;40,H20-40,0)</f>
        <v>0</v>
      </c>
      <c r="N20" s="13">
        <f t="shared" si="12"/>
        <v>1170</v>
      </c>
      <c r="O20" s="13">
        <f t="shared" si="12"/>
        <v>1200</v>
      </c>
      <c r="P20" s="13">
        <f t="shared" si="12"/>
        <v>1260</v>
      </c>
      <c r="Q20" s="13">
        <f t="shared" si="12"/>
        <v>660</v>
      </c>
      <c r="R20" s="13">
        <f t="shared" si="12"/>
        <v>1170</v>
      </c>
      <c r="S20" s="14">
        <f t="shared" si="13"/>
        <v>0</v>
      </c>
      <c r="T20" s="14">
        <f t="shared" si="5"/>
        <v>0</v>
      </c>
      <c r="U20" s="14">
        <f t="shared" si="6"/>
        <v>30</v>
      </c>
      <c r="V20" s="14">
        <f t="shared" si="14"/>
        <v>0</v>
      </c>
      <c r="W20" s="14">
        <f t="shared" si="14"/>
        <v>0</v>
      </c>
      <c r="X20" s="12">
        <f t="shared" si="15"/>
        <v>1170</v>
      </c>
      <c r="Y20" s="12">
        <f t="shared" si="7"/>
        <v>1200</v>
      </c>
      <c r="Z20" s="12">
        <f t="shared" si="8"/>
        <v>1290</v>
      </c>
      <c r="AA20" s="12">
        <f>Q20+V20</f>
        <v>660</v>
      </c>
      <c r="AB20" s="12">
        <f t="shared" si="19"/>
        <v>1170</v>
      </c>
      <c r="AD20" s="20">
        <f t="shared" si="16"/>
        <v>5490</v>
      </c>
    </row>
    <row r="21" spans="1:30">
      <c r="AD21" s="22"/>
    </row>
    <row r="22" spans="1:30">
      <c r="A22" s="1" t="s">
        <v>45</v>
      </c>
      <c r="C22" s="3">
        <f>MAX(C4:C20)</f>
        <v>45</v>
      </c>
      <c r="D22" s="23">
        <f>MAX(D4:D20)</f>
        <v>55</v>
      </c>
      <c r="E22" s="23">
        <f t="shared" ref="E22:H22" si="48">MAX(E4:E20)</f>
        <v>51</v>
      </c>
      <c r="F22" s="23">
        <f t="shared" si="48"/>
        <v>55</v>
      </c>
      <c r="G22" s="23">
        <f t="shared" si="48"/>
        <v>50</v>
      </c>
      <c r="H22" s="23">
        <f t="shared" si="48"/>
        <v>55</v>
      </c>
      <c r="I22" s="25">
        <f>MAX(I4:I20)</f>
        <v>15</v>
      </c>
      <c r="J22" s="25">
        <f t="shared" ref="J22:AA22" si="49">MAX(J4:J20)</f>
        <v>11</v>
      </c>
      <c r="K22" s="25">
        <f t="shared" si="49"/>
        <v>15</v>
      </c>
      <c r="L22" s="25">
        <f t="shared" si="49"/>
        <v>10</v>
      </c>
      <c r="M22" s="25">
        <f t="shared" si="49"/>
        <v>15</v>
      </c>
      <c r="N22" s="27">
        <f t="shared" si="49"/>
        <v>1845</v>
      </c>
      <c r="O22" s="27">
        <f t="shared" si="49"/>
        <v>1620</v>
      </c>
      <c r="P22" s="27">
        <f t="shared" si="49"/>
        <v>1260</v>
      </c>
      <c r="Q22" s="27">
        <f t="shared" si="49"/>
        <v>1620</v>
      </c>
      <c r="R22" s="27">
        <f t="shared" si="49"/>
        <v>1170</v>
      </c>
      <c r="S22" s="28">
        <f t="shared" si="49"/>
        <v>135</v>
      </c>
      <c r="T22" s="28">
        <f t="shared" si="49"/>
        <v>95.5</v>
      </c>
      <c r="U22" s="28">
        <f t="shared" si="49"/>
        <v>104.25</v>
      </c>
      <c r="V22" s="28">
        <f>MAX(V4:V20)</f>
        <v>50.5</v>
      </c>
      <c r="W22" s="28">
        <f t="shared" ref="W22" si="50">MAX(W4:W20)</f>
        <v>135</v>
      </c>
      <c r="X22" s="29">
        <f t="shared" si="49"/>
        <v>1867.5</v>
      </c>
      <c r="Y22" s="29">
        <f t="shared" si="49"/>
        <v>1620</v>
      </c>
      <c r="Z22" s="29">
        <f t="shared" si="49"/>
        <v>1290</v>
      </c>
      <c r="AA22" s="29">
        <f t="shared" si="49"/>
        <v>1620</v>
      </c>
      <c r="AB22" s="29">
        <f>MAX(AB4:AB20)</f>
        <v>1182.3500000000001</v>
      </c>
      <c r="AD22" s="30">
        <f t="shared" ref="AD22" si="51">MAX(AD4:AD20)</f>
        <v>7042.5</v>
      </c>
    </row>
    <row r="23" spans="1:30">
      <c r="A23" s="1" t="s">
        <v>46</v>
      </c>
      <c r="C23" s="3">
        <f>MIN(C4:C20)</f>
        <v>6.9</v>
      </c>
      <c r="D23" s="23">
        <f>MIN(D4:D20)</f>
        <v>29</v>
      </c>
      <c r="E23" s="23">
        <f t="shared" ref="E23:H23" si="52">MIN(E4:E20)</f>
        <v>29</v>
      </c>
      <c r="F23" s="23">
        <f t="shared" si="52"/>
        <v>22</v>
      </c>
      <c r="G23" s="23">
        <f t="shared" si="52"/>
        <v>22</v>
      </c>
      <c r="H23" s="23">
        <f t="shared" si="52"/>
        <v>21</v>
      </c>
      <c r="I23" s="25">
        <f t="shared" ref="I23:AB23" si="53">MIN(I4:I20)</f>
        <v>0</v>
      </c>
      <c r="J23" s="25">
        <f t="shared" si="53"/>
        <v>0</v>
      </c>
      <c r="K23" s="25">
        <f t="shared" si="53"/>
        <v>0</v>
      </c>
      <c r="L23" s="25">
        <f t="shared" si="53"/>
        <v>0</v>
      </c>
      <c r="M23" s="25">
        <f t="shared" si="53"/>
        <v>0</v>
      </c>
      <c r="N23" s="27">
        <f t="shared" si="53"/>
        <v>269.10000000000002</v>
      </c>
      <c r="O23" s="27">
        <f t="shared" si="53"/>
        <v>200.10000000000002</v>
      </c>
      <c r="P23" s="27">
        <f t="shared" si="53"/>
        <v>253.2</v>
      </c>
      <c r="Q23" s="27">
        <f t="shared" si="53"/>
        <v>220.8</v>
      </c>
      <c r="R23" s="27">
        <f t="shared" si="53"/>
        <v>269.10000000000002</v>
      </c>
      <c r="S23" s="28">
        <f t="shared" si="53"/>
        <v>0</v>
      </c>
      <c r="T23" s="28">
        <f t="shared" si="53"/>
        <v>0</v>
      </c>
      <c r="U23" s="28">
        <f t="shared" si="53"/>
        <v>0</v>
      </c>
      <c r="V23" s="28">
        <f t="shared" si="53"/>
        <v>0</v>
      </c>
      <c r="W23" s="28">
        <f t="shared" ref="W23" si="54">MIN(W4:W20)</f>
        <v>0</v>
      </c>
      <c r="X23" s="29">
        <f t="shared" si="53"/>
        <v>269.10000000000002</v>
      </c>
      <c r="Y23" s="29">
        <f t="shared" si="53"/>
        <v>200.10000000000002</v>
      </c>
      <c r="Z23" s="29">
        <f t="shared" si="53"/>
        <v>253.2</v>
      </c>
      <c r="AA23" s="29">
        <f t="shared" si="53"/>
        <v>220.8</v>
      </c>
      <c r="AB23" s="29">
        <f t="shared" si="53"/>
        <v>269.10000000000002</v>
      </c>
      <c r="AD23" s="30">
        <f t="shared" ref="AD23" si="55">MIN(AD4:AD20)</f>
        <v>1245.4500000000003</v>
      </c>
    </row>
    <row r="24" spans="1:30">
      <c r="A24" s="1" t="s">
        <v>47</v>
      </c>
      <c r="C24" s="3">
        <f>AVERAGE(C4:C20)</f>
        <v>16.484705882352941</v>
      </c>
      <c r="D24" s="23">
        <f>AVERAGE(D4:D20)</f>
        <v>40.882352941176471</v>
      </c>
      <c r="E24" s="23">
        <f t="shared" ref="E24:H24" si="56">AVERAGE(E4:E20)</f>
        <v>40.882352941176471</v>
      </c>
      <c r="F24" s="23">
        <f t="shared" si="56"/>
        <v>37.764705882352942</v>
      </c>
      <c r="G24" s="23">
        <f t="shared" si="56"/>
        <v>37</v>
      </c>
      <c r="H24" s="23">
        <f t="shared" si="56"/>
        <v>39.411764705882355</v>
      </c>
      <c r="I24" s="25">
        <f t="shared" ref="I24:AB24" si="57">AVERAGE(I4:I20)</f>
        <v>2.0588235294117645</v>
      </c>
      <c r="J24" s="25">
        <f t="shared" si="57"/>
        <v>2.5294117647058822</v>
      </c>
      <c r="K24" s="25">
        <f t="shared" si="57"/>
        <v>1.8823529411764706</v>
      </c>
      <c r="L24" s="25">
        <f t="shared" si="57"/>
        <v>1.8235294117647058</v>
      </c>
      <c r="M24" s="25">
        <f t="shared" si="57"/>
        <v>2.8235294117647061</v>
      </c>
      <c r="N24" s="27">
        <f t="shared" si="57"/>
        <v>678.36470588235295</v>
      </c>
      <c r="O24" s="27">
        <f t="shared" si="57"/>
        <v>671.82352941176475</v>
      </c>
      <c r="P24" s="27">
        <f t="shared" si="57"/>
        <v>600.22352941176462</v>
      </c>
      <c r="Q24" s="27">
        <f t="shared" si="57"/>
        <v>599.59176470588227</v>
      </c>
      <c r="R24" s="27">
        <f t="shared" si="57"/>
        <v>619.12352941176471</v>
      </c>
      <c r="S24" s="28">
        <f t="shared" si="57"/>
        <v>18.932352941176472</v>
      </c>
      <c r="T24" s="28">
        <f t="shared" si="57"/>
        <v>17.605882352941176</v>
      </c>
      <c r="U24" s="28">
        <f t="shared" si="57"/>
        <v>13.379411764705882</v>
      </c>
      <c r="V24" s="28">
        <f t="shared" si="57"/>
        <v>12.587058823529411</v>
      </c>
      <c r="W24" s="28">
        <f t="shared" ref="W24" si="58">AVERAGE(W4:W20)</f>
        <v>23.344117647058823</v>
      </c>
      <c r="X24" s="29">
        <f t="shared" si="57"/>
        <v>697.29705882352937</v>
      </c>
      <c r="Y24" s="29">
        <f t="shared" si="57"/>
        <v>689.42941176470595</v>
      </c>
      <c r="Z24" s="29">
        <f t="shared" si="57"/>
        <v>613.60294117647061</v>
      </c>
      <c r="AA24" s="29">
        <f t="shared" si="57"/>
        <v>612.17882352941183</v>
      </c>
      <c r="AB24" s="29">
        <f t="shared" si="57"/>
        <v>642.46764705882356</v>
      </c>
      <c r="AD24" s="30">
        <f t="shared" ref="AD24" si="59">AVERAGE(AD4:AD20)</f>
        <v>3254.975882352941</v>
      </c>
    </row>
    <row r="25" spans="1:30">
      <c r="A25" s="1" t="s">
        <v>6</v>
      </c>
      <c r="C25" s="3">
        <f>SUM(C4:C20)</f>
        <v>280.24</v>
      </c>
      <c r="D25" s="24">
        <f>SUM(D4:D20)</f>
        <v>695</v>
      </c>
      <c r="E25" s="24">
        <f t="shared" ref="E25:H25" si="60">SUM(E4:E20)</f>
        <v>695</v>
      </c>
      <c r="F25" s="24">
        <f t="shared" si="60"/>
        <v>642</v>
      </c>
      <c r="G25" s="24">
        <f t="shared" si="60"/>
        <v>629</v>
      </c>
      <c r="H25" s="24">
        <f t="shared" si="60"/>
        <v>670</v>
      </c>
      <c r="I25" s="26">
        <f t="shared" ref="I25:AB25" si="61">SUM(I4:I20)</f>
        <v>35</v>
      </c>
      <c r="J25" s="26">
        <f t="shared" si="61"/>
        <v>43</v>
      </c>
      <c r="K25" s="26">
        <f t="shared" si="61"/>
        <v>32</v>
      </c>
      <c r="L25" s="26">
        <f t="shared" si="61"/>
        <v>31</v>
      </c>
      <c r="M25" s="26">
        <f t="shared" si="61"/>
        <v>48</v>
      </c>
      <c r="N25" s="27">
        <f t="shared" si="61"/>
        <v>11532.2</v>
      </c>
      <c r="O25" s="27">
        <f t="shared" si="61"/>
        <v>11421</v>
      </c>
      <c r="P25" s="27">
        <f t="shared" si="61"/>
        <v>10203.799999999999</v>
      </c>
      <c r="Q25" s="27">
        <f t="shared" si="61"/>
        <v>10193.06</v>
      </c>
      <c r="R25" s="27">
        <f t="shared" si="61"/>
        <v>10525.1</v>
      </c>
      <c r="S25" s="28">
        <f t="shared" si="61"/>
        <v>321.85000000000002</v>
      </c>
      <c r="T25" s="28">
        <f t="shared" si="61"/>
        <v>299.3</v>
      </c>
      <c r="U25" s="28">
        <f t="shared" si="61"/>
        <v>227.45</v>
      </c>
      <c r="V25" s="28">
        <f t="shared" si="61"/>
        <v>213.98</v>
      </c>
      <c r="W25" s="28">
        <f t="shared" ref="W25" si="62">SUM(W4:W20)</f>
        <v>396.84999999999997</v>
      </c>
      <c r="X25" s="29">
        <f t="shared" si="61"/>
        <v>11854.05</v>
      </c>
      <c r="Y25" s="29">
        <f t="shared" si="61"/>
        <v>11720.300000000001</v>
      </c>
      <c r="Z25" s="29">
        <f t="shared" si="61"/>
        <v>10431.25</v>
      </c>
      <c r="AA25" s="29">
        <f t="shared" si="61"/>
        <v>10407.040000000001</v>
      </c>
      <c r="AB25" s="29">
        <f t="shared" si="61"/>
        <v>10921.95</v>
      </c>
      <c r="AD25" s="30">
        <f t="shared" ref="AD25" si="63">SUM(AD4:AD20)</f>
        <v>55334.59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2026-09-19T11:34:08Z</dcterms:created>
  <dcterms:modified xsi:type="dcterms:W3CDTF">2026-09-19T18:23:42Z</dcterms:modified>
  <cp:category/>
  <cp:contentStatus/>
</cp:coreProperties>
</file>